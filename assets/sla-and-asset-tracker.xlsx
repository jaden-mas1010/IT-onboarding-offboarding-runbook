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LA Tracker" sheetId="1" state="visible" r:id="rId3"/>
    <sheet name="Asset Invento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<sst xmlns="http://schemas.openxmlformats.org/spreadsheetml/2006/main" count="79" uniqueCount="68">
  <si>
    <t xml:space="preserve">IT Ticket SLA Tracker</t>
  </si>
  <si>
    <t xml:space="preserve">Ticket ID</t>
  </si>
  <si>
    <t xml:space="preserve">Type</t>
  </si>
  <si>
    <t xml:space="preserve">Priority</t>
  </si>
  <si>
    <t xml:space="preserve">Opened</t>
  </si>
  <si>
    <t xml:space="preserve">SLA Target (hrs)</t>
  </si>
  <si>
    <t xml:space="preserve">Resolved</t>
  </si>
  <si>
    <t xml:space="preserve">Resolution Time (hrs)</t>
  </si>
  <si>
    <t xml:space="preserve">Within SLA?</t>
  </si>
  <si>
    <t xml:space="preserve">Notes</t>
  </si>
  <si>
    <t xml:space="preserve">IT-1001</t>
  </si>
  <si>
    <t xml:space="preserve">Onboarding - Device Setup</t>
  </si>
  <si>
    <t xml:space="preserve">Medium</t>
  </si>
  <si>
    <t xml:space="preserve">2026-08-19 09:14</t>
  </si>
  <si>
    <t xml:space="preserve">2026-08-19 11:45</t>
  </si>
  <si>
    <t xml:space="preserve">New hire Windows laptop</t>
  </si>
  <si>
    <t xml:space="preserve">IT-1002</t>
  </si>
  <si>
    <t xml:space="preserve">Onboarding - M365 Provisioning</t>
  </si>
  <si>
    <t xml:space="preserve">2026-08-19 12:00</t>
  </si>
  <si>
    <t xml:space="preserve">2026-08-19 13:00</t>
  </si>
  <si>
    <t xml:space="preserve">New hire M365 account</t>
  </si>
  <si>
    <t xml:space="preserve">IT-1003</t>
  </si>
  <si>
    <t xml:space="preserve">Offboarding</t>
  </si>
  <si>
    <t xml:space="preserve">High</t>
  </si>
  <si>
    <t xml:space="preserve">2026-08-21 08:30</t>
  </si>
  <si>
    <t xml:space="preserve">2026-08-21 16:50</t>
  </si>
  <si>
    <t xml:space="preserve">Planned departure; access revoked in 90 min (critical SLA met). Full closure delayed to 16:50 awaiting courier device return, outside IT control.</t>
  </si>
  <si>
    <t xml:space="preserve">IT-1004</t>
  </si>
  <si>
    <t xml:space="preserve">Access Issue</t>
  </si>
  <si>
    <t xml:space="preserve">2026-08-20 10:05</t>
  </si>
  <si>
    <t xml:space="preserve">2026-08-20 10:45</t>
  </si>
  <si>
    <t xml:space="preserve">Shared drive permission gap</t>
  </si>
  <si>
    <t xml:space="preserve">Summary</t>
  </si>
  <si>
    <t xml:space="preserve">Total tickets:</t>
  </si>
  <si>
    <t xml:space="preserve">Tickets within SLA:</t>
  </si>
  <si>
    <t xml:space="preserve">SLA compliance rate:</t>
  </si>
  <si>
    <t xml:space="preserve">IT Asset Inventory</t>
  </si>
  <si>
    <t xml:space="preserve">Asset ID</t>
  </si>
  <si>
    <t xml:space="preserve">OS</t>
  </si>
  <si>
    <t xml:space="preserve">Assigned To</t>
  </si>
  <si>
    <t xml:space="preserve">Department</t>
  </si>
  <si>
    <t xml:space="preserve">Status</t>
  </si>
  <si>
    <t xml:space="preserve">Purchase Date</t>
  </si>
  <si>
    <t xml:space="preserve">Warranty Expiry</t>
  </si>
  <si>
    <t xml:space="preserve">WIN-0142</t>
  </si>
  <si>
    <t xml:space="preserve">Laptop</t>
  </si>
  <si>
    <t xml:space="preserve">Windows 11</t>
  </si>
  <si>
    <t xml:space="preserve">New Hire - CS</t>
  </si>
  <si>
    <t xml:space="preserve">Customer Success</t>
  </si>
  <si>
    <t xml:space="preserve">Assigned</t>
  </si>
  <si>
    <t xml:space="preserve">2026-08-19</t>
  </si>
  <si>
    <t xml:space="preserve">2029-08-19</t>
  </si>
  <si>
    <t xml:space="preserve">WIN-0098</t>
  </si>
  <si>
    <t xml:space="preserve">Unassigned</t>
  </si>
  <si>
    <t xml:space="preserve">Pool</t>
  </si>
  <si>
    <t xml:space="preserve">Available</t>
  </si>
  <si>
    <t xml:space="preserve">2025-11-02</t>
  </si>
  <si>
    <t xml:space="preserve">2028-11-02</t>
  </si>
  <si>
    <t xml:space="preserve">MAC-0031</t>
  </si>
  <si>
    <t xml:space="preserve">macOS Sonoma</t>
  </si>
  <si>
    <t xml:space="preserve">Returned/Wiped</t>
  </si>
  <si>
    <t xml:space="preserve">2025-06-14</t>
  </si>
  <si>
    <t xml:space="preserve">2028-06-14</t>
  </si>
  <si>
    <t xml:space="preserve">WIN-0071</t>
  </si>
  <si>
    <t xml:space="preserve">Departed Employee</t>
  </si>
  <si>
    <t xml:space="preserve">Finance</t>
  </si>
  <si>
    <t xml:space="preserve">2024-09-10</t>
  </si>
  <si>
    <t xml:space="preserve">2027-09-10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</si>
</sst>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yyyy\-mm\-dd\ hh:mm"/>
    <numFmt numFmtId="166" formatCode="0.00"/>
    <numFmt numFmtId="167" formatCode="0.0%"/>
    <numFmt numFmtId="168" formatCode="yyyy\-mm\-dd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6"/>
    <col collapsed="false" customWidth="true" hidden="false" outlineLevel="0" max="3" min="3" style="1" width="10"/>
    <col collapsed="false" customWidth="true" hidden="false" outlineLevel="0" max="4" min="4" style="1" width="18"/>
    <col collapsed="false" customWidth="true" hidden="false" outlineLevel="0" max="5" min="5" style="1" width="14"/>
    <col collapsed="false" customWidth="true" hidden="false" outlineLevel="0" max="7" min="6" style="1" width="18"/>
    <col collapsed="false" customWidth="true" hidden="false" outlineLevel="0" max="8" min="8" style="1" width="12"/>
    <col collapsed="false" customWidth="true" hidden="false" outlineLevel="0" max="9" min="9" style="1" width="32"/>
  </cols>
  <sheetData>
    <row r="1" customFormat="false" ht="17.2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</row>
    <row r="3" customFormat="false" ht="26.25" hidden="false" customHeight="true" outlineLevel="0" collapsed="false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</row>
    <row r="4" customFormat="false" ht="15" hidden="false" customHeight="true" outlineLevel="0" collapsed="false">
      <c r="A4" s="4" t="s">
        <v>10</v>
      </c>
      <c r="B4" s="4" t="s">
        <v>11</v>
      </c>
      <c r="C4" s="4" t="s">
        <v>12</v>
      </c>
      <c r="D4" s="5" t="s">
        <v>13</v>
      </c>
      <c r="E4" s="4" t="n">
        <v>72</v>
      </c>
      <c r="F4" s="5" t="s">
        <v>14</v>
      </c>
      <c r="G4" s="6" t="n">
        <f aca="false">(F4-D4)*24</f>
        <v>2.51666666666279</v>
      </c>
      <c r="H4" s="4" t="str">
        <f aca="false">IF(G4&lt;=E4,"Yes","No")</f>
        <v>Yes</v>
      </c>
      <c r="I4" s="4" t="s">
        <v>15</v>
      </c>
    </row>
    <row r="5" customFormat="false" ht="15" hidden="false" customHeight="true" outlineLevel="0" collapsed="false">
      <c r="A5" s="4" t="s">
        <v>16</v>
      </c>
      <c r="B5" s="4" t="s">
        <v>17</v>
      </c>
      <c r="C5" s="4" t="s">
        <v>12</v>
      </c>
      <c r="D5" s="5" t="s">
        <v>18</v>
      </c>
      <c r="E5" s="4" t="n">
        <v>72</v>
      </c>
      <c r="F5" s="5" t="s">
        <v>19</v>
      </c>
      <c r="G5" s="6" t="n">
        <f aca="false">(F5-D5)*24</f>
        <v>0.999999999941792</v>
      </c>
      <c r="H5" s="4" t="str">
        <f aca="false">IF(G5&lt;=E5,"Yes","No")</f>
        <v>Yes</v>
      </c>
      <c r="I5" s="4" t="s">
        <v>20</v>
      </c>
    </row>
    <row r="6" customFormat="false" ht="15" hidden="false" customHeight="true" outlineLevel="0" collapsed="false">
      <c r="A6" s="4" t="s">
        <v>21</v>
      </c>
      <c r="B6" s="4" t="s">
        <v>22</v>
      </c>
      <c r="C6" s="4" t="s">
        <v>23</v>
      </c>
      <c r="D6" s="5" t="s">
        <v>24</v>
      </c>
      <c r="E6" s="4" t="n">
        <v>8</v>
      </c>
      <c r="F6" s="5" t="s">
        <v>25</v>
      </c>
      <c r="G6" s="6" t="n">
        <f aca="false">(F6-D6)*24</f>
        <v>8.33333333343035</v>
      </c>
      <c r="H6" s="4" t="str">
        <f aca="false">IF(G6&lt;=E6,"Yes","No")</f>
        <v>No</v>
      </c>
      <c r="I6" s="4" t="s">
        <v>26</v>
      </c>
    </row>
    <row r="7" customFormat="false" ht="15" hidden="false" customHeight="true" outlineLevel="0" collapsed="false">
      <c r="A7" s="4" t="s">
        <v>27</v>
      </c>
      <c r="B7" s="4" t="s">
        <v>28</v>
      </c>
      <c r="C7" s="4" t="s">
        <v>12</v>
      </c>
      <c r="D7" s="5" t="s">
        <v>29</v>
      </c>
      <c r="E7" s="4" t="n">
        <v>4</v>
      </c>
      <c r="F7" s="5" t="s">
        <v>30</v>
      </c>
      <c r="G7" s="6" t="n">
        <f aca="false">(F7-D7)*24</f>
        <v>0.666666666569654</v>
      </c>
      <c r="H7" s="4" t="str">
        <f aca="false">IF(G7&lt;=E7,"Yes","No")</f>
        <v>Yes</v>
      </c>
      <c r="I7" s="4" t="s">
        <v>31</v>
      </c>
    </row>
    <row r="9" customFormat="false" ht="15" hidden="false" customHeight="true" outlineLevel="0" collapsed="false">
      <c r="A9" s="7" t="s">
        <v>32</v>
      </c>
    </row>
    <row r="10" customFormat="false" ht="15" hidden="false" customHeight="true" outlineLevel="0" collapsed="false">
      <c r="A10" s="8" t="s">
        <v>33</v>
      </c>
      <c r="B10" s="8" t="n">
        <f aca="false">COUNTA(A4:A7)</f>
        <v>4</v>
      </c>
    </row>
    <row r="11" customFormat="false" ht="15" hidden="false" customHeight="true" outlineLevel="0" collapsed="false">
      <c r="A11" s="8" t="s">
        <v>34</v>
      </c>
      <c r="B11" s="8" t="n">
        <f aca="false">COUNTIF(H4:H7,"Yes")</f>
        <v>3</v>
      </c>
    </row>
    <row r="12" customFormat="false" ht="15" hidden="false" customHeight="true" outlineLevel="0" collapsed="false">
      <c r="A12" s="8" t="s">
        <v>35</v>
      </c>
      <c r="B12" s="9" t="n">
        <f aca="false">B11/B10</f>
        <v>0.75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0"/>
    <col collapsed="false" customWidth="true" hidden="false" outlineLevel="0" max="3" min="3" style="1" width="14"/>
    <col collapsed="false" customWidth="true" hidden="false" outlineLevel="0" max="4" min="4" style="1" width="20"/>
    <col collapsed="false" customWidth="true" hidden="false" outlineLevel="0" max="5" min="5" style="1" width="18"/>
    <col collapsed="false" customWidth="true" hidden="false" outlineLevel="0" max="6" min="6" style="1" width="16"/>
    <col collapsed="false" customWidth="true" hidden="false" outlineLevel="0" max="7" min="7" style="1" width="14"/>
    <col collapsed="false" customWidth="true" hidden="false" outlineLevel="0" max="8" min="8" style="1" width="16"/>
  </cols>
  <sheetData>
    <row r="1" customFormat="false" ht="17.25" hidden="false" customHeight="true" outlineLevel="0" collapsed="false">
      <c r="A1" s="2" t="s">
        <v>36</v>
      </c>
      <c r="B1" s="2"/>
      <c r="C1" s="2"/>
      <c r="D1" s="2"/>
      <c r="E1" s="2"/>
      <c r="F1" s="2"/>
      <c r="G1" s="2"/>
      <c r="H1" s="2"/>
    </row>
    <row r="3" customFormat="false" ht="26.25" hidden="false" customHeight="true" outlineLevel="0" collapsed="false">
      <c r="A3" s="3" t="s">
        <v>37</v>
      </c>
      <c r="B3" s="3" t="s">
        <v>2</v>
      </c>
      <c r="C3" s="3" t="s">
        <v>38</v>
      </c>
      <c r="D3" s="3" t="s">
        <v>39</v>
      </c>
      <c r="E3" s="3" t="s">
        <v>40</v>
      </c>
      <c r="F3" s="3" t="s">
        <v>41</v>
      </c>
      <c r="G3" s="3" t="s">
        <v>42</v>
      </c>
      <c r="H3" s="3" t="s">
        <v>43</v>
      </c>
    </row>
    <row r="4" customFormat="false" ht="15" hidden="false" customHeight="true" outlineLevel="0" collapsed="false">
      <c r="A4" s="4" t="s">
        <v>44</v>
      </c>
      <c r="B4" s="4" t="s">
        <v>45</v>
      </c>
      <c r="C4" s="4" t="s">
        <v>46</v>
      </c>
      <c r="D4" s="4" t="s">
        <v>47</v>
      </c>
      <c r="E4" s="4" t="s">
        <v>48</v>
      </c>
      <c r="F4" s="4" t="s">
        <v>49</v>
      </c>
      <c r="G4" s="10" t="s">
        <v>50</v>
      </c>
      <c r="H4" s="10" t="s">
        <v>51</v>
      </c>
    </row>
    <row r="5" customFormat="false" ht="15" hidden="false" customHeight="true" outlineLevel="0" collapsed="false">
      <c r="A5" s="4" t="s">
        <v>52</v>
      </c>
      <c r="B5" s="4" t="s">
        <v>45</v>
      </c>
      <c r="C5" s="4" t="s">
        <v>46</v>
      </c>
      <c r="D5" s="4" t="s">
        <v>53</v>
      </c>
      <c r="E5" s="4" t="s">
        <v>54</v>
      </c>
      <c r="F5" s="4" t="s">
        <v>55</v>
      </c>
      <c r="G5" s="10" t="s">
        <v>56</v>
      </c>
      <c r="H5" s="10" t="s">
        <v>57</v>
      </c>
    </row>
    <row r="6" customFormat="false" ht="15" hidden="false" customHeight="true" outlineLevel="0" collapsed="false">
      <c r="A6" s="4" t="s">
        <v>58</v>
      </c>
      <c r="B6" s="4" t="s">
        <v>45</v>
      </c>
      <c r="C6" s="4" t="s">
        <v>59</v>
      </c>
      <c r="D6" s="4" t="s">
        <v>53</v>
      </c>
      <c r="E6" s="4" t="s">
        <v>54</v>
      </c>
      <c r="F6" s="4" t="s">
        <v>60</v>
      </c>
      <c r="G6" s="10" t="s">
        <v>61</v>
      </c>
      <c r="H6" s="10" t="s">
        <v>62</v>
      </c>
    </row>
    <row r="7" customFormat="false" ht="15" hidden="false" customHeight="true" outlineLevel="0" collapsed="false">
      <c r="A7" s="4" t="s">
        <v>63</v>
      </c>
      <c r="B7" s="4" t="s">
        <v>45</v>
      </c>
      <c r="C7" s="4" t="s">
        <v>46</v>
      </c>
      <c r="D7" s="4" t="s">
        <v>64</v>
      </c>
      <c r="E7" s="4" t="s">
        <v>65</v>
      </c>
      <c r="F7" s="4" t="s">
        <v>60</v>
      </c>
      <c r="G7" s="10" t="s">
        <v>66</v>
      </c>
      <c r="H7" s="10" t="s">
        <v>67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2026-08-23T21:05:47Z</dcterms:created>
  <dc:creator>openpyxl</dc:creator>
  <dc:description/>
  <dc:language>en-US</dc:language>
  <cp:lastModifiedBy/>
  <dcterms:modified xsi:type="dcterms:W3CDTF">2026-08-23T21:06:11Z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